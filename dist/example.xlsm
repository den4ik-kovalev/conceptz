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Denis\PythonProjects\conceptz\dist\"/>
    </mc:Choice>
  </mc:AlternateContent>
  <xr:revisionPtr revIDLastSave="0" documentId="13_ncr:1_{7F8092F1-0986-441F-A1F3-0E24382C3743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Concepts" sheetId="1" r:id="rId1"/>
    <sheet name="Info" sheetId="3" r:id="rId2"/>
    <sheet name="TOC" sheetId="7" r:id="rId3"/>
    <sheet name="Max ID" sheetId="8" r:id="rId4"/>
  </sheets>
  <definedNames>
    <definedName name="MYSHEET">MID(CELL("имяфайла",'Concepts'!$A$1),SEARCH("[",CELL("имяфайла",'Concepts'!$A$1)),256)&amp;"!"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" l="1"/>
  <c r="B15" i="3" l="1"/>
  <c r="B14" i="3"/>
  <c r="B13" i="3"/>
  <c r="B12" i="3"/>
  <c r="B11" i="3"/>
  <c r="B10" i="3"/>
  <c r="B9" i="3"/>
  <c r="B8" i="3"/>
  <c r="B7" i="3"/>
  <c r="B6" i="3"/>
  <c r="B4" i="3" l="1"/>
  <c r="B5" i="3"/>
  <c r="B2" i="3"/>
  <c r="A1" i="8"/>
  <c r="A3" i="7"/>
  <c r="A2" i="7"/>
  <c r="A1" i="7"/>
</calcChain>
</file>

<file path=xl/sharedStrings.xml><?xml version="1.0" encoding="utf-8"?>
<sst xmlns="http://schemas.openxmlformats.org/spreadsheetml/2006/main" count="53" uniqueCount="37">
  <si>
    <t>ID</t>
  </si>
  <si>
    <t>Name</t>
  </si>
  <si>
    <t>Description</t>
  </si>
  <si>
    <t>Text</t>
  </si>
  <si>
    <t>Concept ID</t>
  </si>
  <si>
    <t>Wikipedia</t>
  </si>
  <si>
    <t>Concept Name</t>
  </si>
  <si>
    <t>Link</t>
  </si>
  <si>
    <t>Image</t>
  </si>
  <si>
    <t>Sources</t>
  </si>
  <si>
    <t>Examples</t>
  </si>
  <si>
    <t>Section</t>
  </si>
  <si>
    <t>Timestamp</t>
  </si>
  <si>
    <t>5m</t>
  </si>
  <si>
    <t>Cat</t>
  </si>
  <si>
    <t>Dog</t>
  </si>
  <si>
    <t>Mouse</t>
  </si>
  <si>
    <t>The cat (Felis catus), also referred to as the domestic cat or house cat, is a small domesticated carnivorous mammal</t>
  </si>
  <si>
    <t>The dog (Canis familiaris or Canis lupus familiaris) is a domesticated descendant of the gray wolf</t>
  </si>
  <si>
    <t>A mouse (pl.: mice) is a small rodent</t>
  </si>
  <si>
    <t>Cat communication includes meowing, purring, trilling, hissing, growling, grunting, and body language</t>
  </si>
  <si>
    <t>https://en.wikipedia.org/wiki/Cat</t>
  </si>
  <si>
    <t>https://upload.wikimedia.org/wikipedia/commons/thumb/1/15/Cat_August_2010-4.jpg/330px-Cat_August_2010-4.jpg</t>
  </si>
  <si>
    <t>https://upload.wikimedia.org/wikipedia/commons/thumb/5/53/Sheba1.JPG/250px-Sheba1.JPG</t>
  </si>
  <si>
    <t>A cute grey cat</t>
  </si>
  <si>
    <t>https://en.wikipedia.org/wiki/Domestication_of_vertebrates</t>
  </si>
  <si>
    <t>12 BEST CAT Breeds for FIRST TIME Owners</t>
  </si>
  <si>
    <t>https://youtu.be/mbJeJgSc_1g</t>
  </si>
  <si>
    <t>24s</t>
  </si>
  <si>
    <t>Russian blue</t>
  </si>
  <si>
    <t>Siamese</t>
  </si>
  <si>
    <t>Dogs have been bred for desired behaviors, sensory capabilities, and physical attributes</t>
  </si>
  <si>
    <t>https://upload.wikimedia.org/wikipedia/commons/thumb/9/9b/Chin_posing.jpg/800px-Chin_posing.jpg</t>
  </si>
  <si>
    <t>A cute brown dog</t>
  </si>
  <si>
    <t>Golden retriever</t>
  </si>
  <si>
    <t>Domestic mice sold as pets often differ substantially in size from the common house mouse</t>
  </si>
  <si>
    <t>https://upload.wikimedia.org/wikipedia/commons/thumb/d/d5/Retriever_in_water.jpg/1024px-Retriever_in_water.jpg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</si>
</sst>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2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72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3" fillId="2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1" fontId="3" fillId="2" borderId="0" xfId="0" applyNumberFormat="1" applyFont="1" applyFill="1" applyBorder="1" applyAlignment="1">
      <alignment horizontal="center" vertical="center"/>
    </xf>
    <xf numFmtId="1" fontId="4" fillId="3" borderId="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top" wrapText="1"/>
    </xf>
    <xf numFmtId="1" fontId="0" fillId="0" borderId="0" xfId="0" applyNumberFormat="1" applyFill="1" applyBorder="1" applyAlignment="1">
      <alignment horizontal="center" vertical="top" wrapText="1"/>
    </xf>
    <xf numFmtId="1" fontId="0" fillId="0" borderId="0" xfId="0" applyNumberFormat="1" applyAlignment="1">
      <alignment horizontal="center" vertical="top"/>
    </xf>
    <xf numFmtId="49" fontId="0" fillId="0" borderId="3" xfId="0" applyNumberFormat="1" applyFont="1" applyFill="1" applyBorder="1" applyAlignment="1">
      <alignment horizontal="left" vertical="top" wrapText="1"/>
    </xf>
    <xf numFmtId="1" fontId="0" fillId="0" borderId="0" xfId="0" applyNumberFormat="1" applyFill="1" applyAlignment="1">
      <alignment horizontal="center" vertical="top"/>
    </xf>
    <xf numFmtId="49" fontId="0" fillId="0" borderId="0" xfId="0" applyNumberFormat="1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ill="1" applyBorder="1" applyAlignment="1">
      <alignment horizontal="left" vertical="top" wrapText="1"/>
    </xf>
    <xf numFmtId="49" fontId="0" fillId="0" borderId="2" xfId="0" applyNumberFormat="1" applyFont="1" applyFill="1" applyBorder="1" applyAlignment="1">
      <alignment horizontal="left" vertical="top" wrapText="1"/>
    </xf>
    <xf numFmtId="49" fontId="0" fillId="0" borderId="5" xfId="0" applyNumberFormat="1" applyFont="1" applyFill="1" applyBorder="1" applyAlignment="1">
      <alignment horizontal="left" vertical="top" wrapText="1"/>
    </xf>
    <xf numFmtId="49" fontId="0" fillId="0" borderId="1" xfId="0" applyNumberFormat="1" applyFont="1" applyFill="1" applyBorder="1" applyAlignment="1">
      <alignment horizontal="left" vertical="top" wrapText="1"/>
    </xf>
    <xf numFmtId="49" fontId="0" fillId="0" borderId="4" xfId="0" applyNumberFormat="1" applyFont="1" applyFill="1" applyBorder="1" applyAlignment="1">
      <alignment horizontal="left" vertical="top" wrapText="1"/>
    </xf>
    <xf numFmtId="0" fontId="0" fillId="0" borderId="0" xfId="0" applyFont="1" applyFill="1"/>
    <xf numFmtId="0" fontId="0" fillId="0" borderId="0" xfId="0" applyFont="1" applyFill="1" applyAlignment="1"/>
    <xf numFmtId="0" fontId="2" fillId="0" borderId="0" xfId="1" applyFont="1" applyFill="1"/>
    <xf numFmtId="0" fontId="4" fillId="3" borderId="0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2" fillId="0" borderId="0" xfId="1" applyFill="1"/>
    <xf numFmtId="0" fontId="1" fillId="0" borderId="0" xfId="0" applyFont="1" applyFill="1" applyAlignment="1"/>
    <xf numFmtId="0" fontId="1" fillId="0" borderId="0" xfId="0" applyFont="1" applyFill="1"/>
    <xf numFmtId="1" fontId="1" fillId="0" borderId="0" xfId="0" applyNumberFormat="1" applyFont="1" applyFill="1"/>
    <xf numFmtId="1" fontId="7" fillId="0" borderId="0" xfId="0" applyNumberFormat="1" applyFont="1" applyFill="1" applyAlignment="1">
      <alignment horizontal="center" vertical="center"/>
    </xf>
    <xf numFmtId="0" fontId="5" fillId="0" borderId="0" xfId="0" applyFont="1" applyFill="1"/>
    <xf numFmtId="0" fontId="4" fillId="0" borderId="0" xfId="0" applyFont="1" applyFill="1"/>
  </cellXfs>
  <cellStyles count="2">
    <cellStyle name="Гиперссылка" xfId="1" builtinId="8"/>
    <cellStyle name="Обычный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CCCC"/>
      <color rgb="FFFF7C80"/>
      <color rgb="FFFF505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055C05-7E75-4D98-93AC-F515498BF1BF}" name="concepts" displayName="concepts" ref="A1:C4" totalsRowShown="0" headerRowDxfId="13" dataDxfId="12">
  <autoFilter ref="A1:C4" xr:uid="{FAC0DDCD-DFBF-4E58-A40E-BD1344B0A472}"/>
  <sortState xmlns:xlrd2="http://schemas.microsoft.com/office/spreadsheetml/2017/richdata2" ref="A2:C2">
    <sortCondition ref="B1:B2"/>
  </sortState>
  <tableColumns count="3">
    <tableColumn id="2" xr3:uid="{DD3A8195-2D7D-4A0C-8E13-4E3D633C6277}" name="ID" dataDxfId="11"/>
    <tableColumn id="3" xr3:uid="{27D62A95-4534-4E2C-AA35-E4FB6761AA14}" name="Name" dataDxfId="10"/>
    <tableColumn id="4" xr3:uid="{EED2458A-D174-402B-B5D7-873CBF0723D3}" name="Description" dataDxfId="9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8E564E-363D-4103-ADFF-9EE3ECDD1292}" name="info" displayName="info" ref="A1:G15" totalsRowShown="0" headerRowDxfId="8" dataDxfId="7">
  <autoFilter ref="A1:G15" xr:uid="{3F141073-F477-4025-AC92-1F042C59E4E1}"/>
  <tableColumns count="7">
    <tableColumn id="1" xr3:uid="{D42007B1-A59E-41C1-9480-2F3489EA0F1A}" name="Concept ID" dataDxfId="6"/>
    <tableColumn id="2" xr3:uid="{D6AB935D-9949-4D46-AB42-F9E29D3463CC}" name="Concept Name" dataDxfId="5">
      <calculatedColumnFormula>VLOOKUP(A2,'Concepts'!$A:$B,2,0)</calculatedColumnFormula>
    </tableColumn>
    <tableColumn id="3" xr3:uid="{E83BC770-9E1E-4F18-A1F7-3E0D30C0FBAD}" name="Section" dataDxfId="4"/>
    <tableColumn id="4" xr3:uid="{2E2B7741-175D-4EC2-B010-B690F08429FE}" name="Link" dataDxfId="3"/>
    <tableColumn id="5" xr3:uid="{101CE5F7-D40C-4459-A7FF-F394FA43F4CE}" name="Timestamp" dataDxfId="2"/>
    <tableColumn id="6" xr3:uid="{4C79DF40-D008-4E11-8EA8-29284F87431D}" name="Text" dataDxfId="1"/>
    <tableColumn id="7" xr3:uid="{05D90C49-6806-4347-AE70-B0C095727084}" name="Image" dataDxfId="0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4" tint="0.59999389629810485"/>
  </sheetPr>
  <dimension ref="A1:C4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15" customHeight="1" x14ac:dyDescent="0.35"/>
  <cols>
    <col min="1" max="1" width="8.7265625" style="8" customWidth="1"/>
    <col min="2" max="2" width="74.1796875" style="12" customWidth="1"/>
    <col min="3" max="3" width="85.1796875" style="14" customWidth="1"/>
  </cols>
  <sheetData>
    <row r="1" spans="1:3" ht="42" customHeight="1" x14ac:dyDescent="0.35">
      <c r="A1" s="3" t="s">
        <v>0</v>
      </c>
      <c r="B1" s="1" t="s">
        <v>1</v>
      </c>
      <c r="C1" s="1" t="s">
        <v>2</v>
      </c>
    </row>
    <row r="2" spans="1:3" ht="15" customHeight="1" x14ac:dyDescent="0.35">
      <c r="A2" s="10">
        <v>1</v>
      </c>
      <c r="B2" s="11" t="s">
        <v>14</v>
      </c>
      <c r="C2" s="13" t="s">
        <v>17</v>
      </c>
    </row>
    <row r="3" spans="1:3" ht="15" customHeight="1" x14ac:dyDescent="0.35">
      <c r="A3" s="10">
        <v>2</v>
      </c>
      <c r="B3" s="11" t="s">
        <v>15</v>
      </c>
      <c r="C3" s="13" t="s">
        <v>18</v>
      </c>
    </row>
    <row r="4" spans="1:3" ht="15" customHeight="1" x14ac:dyDescent="0.35">
      <c r="A4" s="10">
        <v>3</v>
      </c>
      <c r="B4" s="11" t="s">
        <v>16</v>
      </c>
      <c r="C4" s="13" t="s">
        <v>19</v>
      </c>
    </row>
  </sheetData>
  <conditionalFormatting sqref="A1:A1048576">
    <cfRule type="duplicateValues" dxfId="15" priority="25"/>
  </conditionalFormatting>
  <conditionalFormatting sqref="B1:B1048576">
    <cfRule type="duplicateValues" dxfId="14" priority="24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FAED6-E43E-4A16-9C20-812781351CBD}">
  <sheetPr codeName="Лист2">
    <tabColor theme="9" tint="0.59999389629810485"/>
  </sheetPr>
  <dimension ref="A1:G15"/>
  <sheetViews>
    <sheetView zoomScaleNormal="100" workbookViewId="0">
      <pane ySplit="1" topLeftCell="A2" activePane="bottomLeft" state="frozen"/>
      <selection pane="bottomLeft" activeCell="B3" sqref="B3"/>
    </sheetView>
  </sheetViews>
  <sheetFormatPr defaultRowHeight="15" customHeight="1" x14ac:dyDescent="0.35"/>
  <cols>
    <col min="1" max="1" width="10.08984375" style="5" customWidth="1"/>
    <col min="2" max="2" width="59.90625" style="25" customWidth="1"/>
    <col min="3" max="3" width="27.453125" style="14" customWidth="1"/>
    <col min="4" max="4" width="8.90625" style="14" customWidth="1"/>
    <col min="5" max="5" width="10.26953125" style="14" customWidth="1"/>
    <col min="6" max="6" width="42.1796875" style="14" customWidth="1"/>
    <col min="7" max="7" width="9.26953125" style="14" customWidth="1"/>
  </cols>
  <sheetData>
    <row r="1" spans="1:7" ht="42" customHeight="1" x14ac:dyDescent="0.35">
      <c r="A1" s="4" t="s">
        <v>4</v>
      </c>
      <c r="B1" s="23" t="s">
        <v>6</v>
      </c>
      <c r="C1" s="2" t="s">
        <v>11</v>
      </c>
      <c r="D1" s="2" t="s">
        <v>7</v>
      </c>
      <c r="E1" s="2" t="s">
        <v>12</v>
      </c>
      <c r="F1" s="2" t="s">
        <v>3</v>
      </c>
      <c r="G1" s="2" t="s">
        <v>8</v>
      </c>
    </row>
    <row r="2" spans="1:7" ht="15" customHeight="1" x14ac:dyDescent="0.35">
      <c r="A2" s="6">
        <v>1</v>
      </c>
      <c r="B2" s="24" t="str">
        <f>VLOOKUP(A2,'Concepts'!$A:$B,2,0)</f>
        <v>Cat</v>
      </c>
      <c r="C2" s="15" t="s">
        <v>5</v>
      </c>
      <c r="D2" s="18" t="s">
        <v>21</v>
      </c>
      <c r="E2" s="18"/>
      <c r="F2" s="16" t="s">
        <v>20</v>
      </c>
      <c r="G2" s="18"/>
    </row>
    <row r="3" spans="1:7" ht="15" customHeight="1" x14ac:dyDescent="0.35">
      <c r="A3" s="7">
        <v>1</v>
      </c>
      <c r="B3" s="24" t="str">
        <f>VLOOKUP(A3,'Concepts'!$A:$B,2,0)</f>
        <v>Cat</v>
      </c>
      <c r="C3" s="15" t="s">
        <v>5</v>
      </c>
      <c r="D3" s="9" t="s">
        <v>21</v>
      </c>
      <c r="E3" s="9"/>
      <c r="F3" s="9"/>
      <c r="G3" s="19" t="s">
        <v>22</v>
      </c>
    </row>
    <row r="4" spans="1:7" ht="15" customHeight="1" x14ac:dyDescent="0.35">
      <c r="A4" s="7">
        <v>1</v>
      </c>
      <c r="B4" s="24" t="str">
        <f>VLOOKUP(A4,'Concepts'!$A:$B,2,0)</f>
        <v>Cat</v>
      </c>
      <c r="C4" s="15" t="s">
        <v>5</v>
      </c>
      <c r="D4" s="9" t="s">
        <v>21</v>
      </c>
      <c r="E4" s="9"/>
      <c r="F4" s="9" t="s">
        <v>24</v>
      </c>
      <c r="G4" s="19" t="s">
        <v>23</v>
      </c>
    </row>
    <row r="5" spans="1:7" ht="15" customHeight="1" x14ac:dyDescent="0.35">
      <c r="A5" s="7">
        <v>1</v>
      </c>
      <c r="B5" s="24" t="str">
        <f>VLOOKUP(A5,'Concepts'!$A:$B,2,0)</f>
        <v>Cat</v>
      </c>
      <c r="C5" s="15" t="s">
        <v>5</v>
      </c>
      <c r="D5" s="9" t="s">
        <v>25</v>
      </c>
      <c r="E5" s="9"/>
      <c r="F5" s="9"/>
      <c r="G5" s="19"/>
    </row>
    <row r="6" spans="1:7" ht="15" customHeight="1" x14ac:dyDescent="0.35">
      <c r="A6" s="7">
        <v>1</v>
      </c>
      <c r="B6" s="24" t="str">
        <f>VLOOKUP(A6,'Concepts'!$A:$B,2,0)</f>
        <v>Cat</v>
      </c>
      <c r="C6" s="17" t="s">
        <v>9</v>
      </c>
      <c r="D6" s="9" t="s">
        <v>21</v>
      </c>
      <c r="E6" s="9"/>
      <c r="F6" s="9"/>
      <c r="G6" s="19"/>
    </row>
    <row r="7" spans="1:7" ht="15" customHeight="1" x14ac:dyDescent="0.35">
      <c r="A7" s="7">
        <v>1</v>
      </c>
      <c r="B7" s="24" t="str">
        <f>VLOOKUP(A7,'Concepts'!$A:$B,2,0)</f>
        <v>Cat</v>
      </c>
      <c r="C7" s="17" t="s">
        <v>9</v>
      </c>
      <c r="D7" s="9" t="s">
        <v>27</v>
      </c>
      <c r="E7" s="9"/>
      <c r="F7" s="9" t="s">
        <v>26</v>
      </c>
      <c r="G7" s="19"/>
    </row>
    <row r="8" spans="1:7" ht="15" customHeight="1" x14ac:dyDescent="0.35">
      <c r="A8" s="7">
        <v>1</v>
      </c>
      <c r="B8" s="24" t="str">
        <f>VLOOKUP(A8,'Concepts'!$A:$B,2,0)</f>
        <v>Cat</v>
      </c>
      <c r="C8" s="17" t="s">
        <v>10</v>
      </c>
      <c r="D8" s="9" t="s">
        <v>27</v>
      </c>
      <c r="E8" s="9" t="s">
        <v>28</v>
      </c>
      <c r="F8" s="9" t="s">
        <v>29</v>
      </c>
      <c r="G8" s="19"/>
    </row>
    <row r="9" spans="1:7" ht="15" customHeight="1" x14ac:dyDescent="0.35">
      <c r="A9" s="7">
        <v>1</v>
      </c>
      <c r="B9" s="24" t="str">
        <f>VLOOKUP(A9,'Concepts'!$A:$B,2,0)</f>
        <v>Cat</v>
      </c>
      <c r="C9" s="17" t="s">
        <v>10</v>
      </c>
      <c r="D9" s="9" t="s">
        <v>27</v>
      </c>
      <c r="E9" s="9" t="s">
        <v>13</v>
      </c>
      <c r="F9" s="9" t="s">
        <v>30</v>
      </c>
      <c r="G9" s="19"/>
    </row>
    <row r="10" spans="1:7" ht="15" customHeight="1" x14ac:dyDescent="0.35">
      <c r="A10" s="7">
        <v>2</v>
      </c>
      <c r="B10" s="24" t="str">
        <f>VLOOKUP(A10,'Concepts'!$A:$B,2,0)</f>
        <v>Dog</v>
      </c>
      <c r="C10" s="15" t="s">
        <v>5</v>
      </c>
      <c r="D10" s="9"/>
      <c r="E10" s="9"/>
      <c r="F10" s="9" t="s">
        <v>31</v>
      </c>
      <c r="G10" s="19"/>
    </row>
    <row r="11" spans="1:7" ht="15" customHeight="1" x14ac:dyDescent="0.35">
      <c r="A11" s="7">
        <v>2</v>
      </c>
      <c r="B11" s="24" t="str">
        <f>VLOOKUP(A11,'Concepts'!$A:$B,2,0)</f>
        <v>Dog</v>
      </c>
      <c r="C11" s="15" t="s">
        <v>5</v>
      </c>
      <c r="D11" s="9"/>
      <c r="E11" s="9"/>
      <c r="F11" s="9"/>
      <c r="G11" s="19" t="s">
        <v>32</v>
      </c>
    </row>
    <row r="12" spans="1:7" ht="15" customHeight="1" x14ac:dyDescent="0.35">
      <c r="A12" s="7">
        <v>2</v>
      </c>
      <c r="B12" s="24" t="str">
        <f>VLOOKUP(A12,'Concepts'!$A:$B,2,0)</f>
        <v>Dog</v>
      </c>
      <c r="C12" s="15" t="s">
        <v>5</v>
      </c>
      <c r="D12" s="9"/>
      <c r="E12" s="9"/>
      <c r="F12" s="9" t="s">
        <v>33</v>
      </c>
      <c r="G12" s="19" t="s">
        <v>36</v>
      </c>
    </row>
    <row r="13" spans="1:7" ht="15" customHeight="1" x14ac:dyDescent="0.35">
      <c r="A13" s="7">
        <v>2</v>
      </c>
      <c r="B13" s="24" t="str">
        <f>VLOOKUP(A13,'Concepts'!$A:$B,2,0)</f>
        <v>Dog</v>
      </c>
      <c r="C13" s="17" t="s">
        <v>9</v>
      </c>
      <c r="D13" s="9"/>
      <c r="E13" s="9"/>
      <c r="F13" s="9" t="s">
        <v>5</v>
      </c>
      <c r="G13" s="19"/>
    </row>
    <row r="14" spans="1:7" ht="15" customHeight="1" x14ac:dyDescent="0.35">
      <c r="A14" s="7">
        <v>2</v>
      </c>
      <c r="B14" s="24" t="str">
        <f>VLOOKUP(A14,'Concepts'!$A:$B,2,0)</f>
        <v>Dog</v>
      </c>
      <c r="C14" s="17" t="s">
        <v>10</v>
      </c>
      <c r="D14" s="9"/>
      <c r="E14" s="9"/>
      <c r="F14" s="9" t="s">
        <v>34</v>
      </c>
      <c r="G14" s="19"/>
    </row>
    <row r="15" spans="1:7" ht="15" customHeight="1" x14ac:dyDescent="0.35">
      <c r="A15" s="7">
        <v>3</v>
      </c>
      <c r="B15" s="24" t="str">
        <f>VLOOKUP(A15,'Concepts'!$A:$B,2,0)</f>
        <v>Mouse</v>
      </c>
      <c r="C15" s="17"/>
      <c r="D15" s="9"/>
      <c r="E15" s="9"/>
      <c r="F15" s="9" t="s">
        <v>35</v>
      </c>
      <c r="G15" s="19"/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5897F-C7E8-45E9-8F9E-15A16E05786D}">
  <sheetPr codeName="Лист5"/>
  <dimension ref="A1:L19"/>
  <sheetViews>
    <sheetView zoomScaleNormal="100" workbookViewId="0">
      <selection activeCell="A4" sqref="A4"/>
    </sheetView>
  </sheetViews>
  <sheetFormatPr defaultRowHeight="14.5" x14ac:dyDescent="0.35"/>
  <cols>
    <col min="1" max="2" width="8.7265625" style="20" customWidth="1"/>
    <col min="3" max="3" width="8.7265625" style="21" customWidth="1"/>
    <col min="4" max="6" width="8.7265625" style="20" customWidth="1"/>
    <col min="7" max="7" width="8.7265625" style="31" customWidth="1"/>
    <col min="8" max="10" width="8.7265625" style="32" customWidth="1"/>
    <col min="11" max="16384" width="8.7265625" style="20"/>
  </cols>
  <sheetData>
    <row r="1" spans="1:12" x14ac:dyDescent="0.35">
      <c r="A1" s="26" t="str">
        <f ca="1">HYPERLINK(MYSHEET&amp;ADDRESS(MATCH("Cat",'Concepts'!B:B,0),2),"Cat")</f>
        <v>Cat</v>
      </c>
      <c r="H1" s="29"/>
      <c r="I1" s="28"/>
      <c r="J1" s="28"/>
      <c r="K1" s="28"/>
      <c r="L1" s="28"/>
    </row>
    <row r="2" spans="1:12" x14ac:dyDescent="0.35">
      <c r="A2" s="26" t="str">
        <f ca="1">HYPERLINK(MYSHEET&amp;ADDRESS(MATCH("Dog",'Concepts'!B:B,0),2),"Dog")</f>
        <v>Dog</v>
      </c>
      <c r="B2" s="26"/>
      <c r="D2" s="26"/>
      <c r="F2" s="26"/>
      <c r="H2" s="27"/>
      <c r="I2" s="28"/>
      <c r="J2" s="28"/>
      <c r="K2" s="28"/>
      <c r="L2" s="28"/>
    </row>
    <row r="3" spans="1:12" x14ac:dyDescent="0.35">
      <c r="A3" s="26" t="str">
        <f ca="1">HYPERLINK(MYSHEET&amp;ADDRESS(MATCH("Mouse",'Concepts'!B:B,0),2),"Mouse")</f>
        <v>Mouse</v>
      </c>
      <c r="B3" s="26"/>
      <c r="D3" s="26"/>
      <c r="F3" s="26"/>
      <c r="H3" s="27"/>
      <c r="I3" s="28"/>
      <c r="J3" s="28"/>
      <c r="K3" s="28"/>
      <c r="L3" s="28"/>
    </row>
    <row r="4" spans="1:12" x14ac:dyDescent="0.35">
      <c r="B4" s="26"/>
      <c r="D4" s="26"/>
      <c r="F4" s="26"/>
      <c r="H4" s="27"/>
      <c r="I4" s="28"/>
      <c r="J4" s="28"/>
      <c r="K4" s="28"/>
      <c r="L4" s="28"/>
    </row>
    <row r="5" spans="1:12" x14ac:dyDescent="0.35">
      <c r="B5" s="26"/>
      <c r="D5" s="26"/>
      <c r="H5" s="27"/>
      <c r="I5" s="28"/>
      <c r="J5" s="28"/>
      <c r="K5" s="28"/>
      <c r="L5" s="28"/>
    </row>
    <row r="6" spans="1:12" x14ac:dyDescent="0.35">
      <c r="B6" s="26"/>
      <c r="D6" s="26"/>
      <c r="F6" s="26"/>
      <c r="H6" s="27"/>
      <c r="I6" s="28"/>
      <c r="J6" s="28"/>
      <c r="K6" s="28"/>
      <c r="L6" s="28"/>
    </row>
    <row r="7" spans="1:12" x14ac:dyDescent="0.35">
      <c r="F7" s="22"/>
      <c r="H7" s="27"/>
      <c r="I7" s="28"/>
      <c r="J7" s="28"/>
      <c r="K7" s="28"/>
      <c r="L7" s="28"/>
    </row>
    <row r="8" spans="1:12" x14ac:dyDescent="0.35">
      <c r="B8" s="26"/>
      <c r="D8" s="26"/>
      <c r="F8" s="26"/>
      <c r="H8" s="27"/>
      <c r="I8" s="28"/>
      <c r="J8" s="28"/>
      <c r="K8" s="28"/>
      <c r="L8" s="28"/>
    </row>
    <row r="9" spans="1:12" x14ac:dyDescent="0.35">
      <c r="B9" s="26"/>
      <c r="D9" s="26"/>
      <c r="F9" s="22"/>
      <c r="H9" s="27"/>
      <c r="I9" s="28"/>
      <c r="J9" s="28"/>
      <c r="K9" s="28"/>
      <c r="L9" s="28"/>
    </row>
    <row r="10" spans="1:12" x14ac:dyDescent="0.35">
      <c r="B10" s="26"/>
      <c r="D10" s="26"/>
      <c r="F10" s="26"/>
      <c r="H10" s="27"/>
      <c r="I10" s="28"/>
      <c r="J10" s="28"/>
      <c r="K10" s="28"/>
      <c r="L10" s="28"/>
    </row>
    <row r="11" spans="1:12" x14ac:dyDescent="0.35">
      <c r="B11" s="26"/>
      <c r="F11" s="26"/>
      <c r="H11" s="27"/>
      <c r="I11" s="28"/>
      <c r="J11" s="28"/>
      <c r="K11" s="28"/>
      <c r="L11" s="28"/>
    </row>
    <row r="12" spans="1:12" x14ac:dyDescent="0.35">
      <c r="B12" s="26"/>
      <c r="D12" s="26"/>
      <c r="F12" s="26"/>
      <c r="H12" s="27"/>
      <c r="I12" s="28"/>
      <c r="J12" s="28"/>
      <c r="K12" s="28"/>
      <c r="L12" s="28"/>
    </row>
    <row r="13" spans="1:12" x14ac:dyDescent="0.35">
      <c r="B13" s="26"/>
      <c r="D13" s="26"/>
      <c r="F13" s="22"/>
      <c r="H13" s="27"/>
      <c r="I13" s="28"/>
      <c r="J13" s="28"/>
      <c r="K13" s="28"/>
      <c r="L13" s="28"/>
    </row>
    <row r="14" spans="1:12" x14ac:dyDescent="0.35">
      <c r="B14" s="26"/>
      <c r="D14" s="26"/>
      <c r="F14" s="26"/>
      <c r="H14" s="27"/>
      <c r="I14" s="28"/>
      <c r="J14" s="28"/>
      <c r="K14" s="28"/>
      <c r="L14" s="28"/>
    </row>
    <row r="15" spans="1:12" x14ac:dyDescent="0.35">
      <c r="B15" s="26"/>
    </row>
    <row r="16" spans="1:12" x14ac:dyDescent="0.35">
      <c r="B16" s="26"/>
      <c r="D16" s="22"/>
      <c r="F16" s="22"/>
      <c r="H16" s="27"/>
      <c r="I16" s="28"/>
      <c r="J16" s="28"/>
      <c r="K16" s="28"/>
      <c r="L16" s="28"/>
    </row>
    <row r="17" spans="2:12" x14ac:dyDescent="0.35">
      <c r="B17" s="26"/>
      <c r="D17" s="22"/>
      <c r="F17" s="22"/>
      <c r="H17" s="27"/>
      <c r="I17" s="28"/>
      <c r="J17" s="28"/>
      <c r="K17" s="28"/>
      <c r="L17" s="28"/>
    </row>
    <row r="18" spans="2:12" x14ac:dyDescent="0.35">
      <c r="B18" s="26"/>
      <c r="D18" s="22"/>
      <c r="F18" s="22"/>
      <c r="H18" s="27"/>
      <c r="I18" s="28"/>
      <c r="J18" s="28"/>
      <c r="K18" s="28"/>
      <c r="L18" s="28"/>
    </row>
    <row r="19" spans="2:12" x14ac:dyDescent="0.35">
      <c r="H19" s="28"/>
      <c r="I19" s="28"/>
      <c r="J19" s="28"/>
      <c r="K19" s="28"/>
      <c r="L19" s="2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A2687-3DD2-4C91-A02F-AB857A24BCDF}">
  <sheetPr codeName="Лист3"/>
  <dimension ref="A1:S19"/>
  <sheetViews>
    <sheetView zoomScale="85" zoomScaleNormal="85" workbookViewId="0">
      <selection activeCell="A4" sqref="A4"/>
    </sheetView>
  </sheetViews>
  <sheetFormatPr defaultRowHeight="14.5" x14ac:dyDescent="0.35"/>
  <cols>
    <col min="1" max="1" width="197.90625" customWidth="1"/>
    <col min="19" max="19" width="8.7265625" customWidth="1"/>
  </cols>
  <sheetData>
    <row r="1" spans="1:19" ht="333" customHeight="1" x14ac:dyDescent="0.35">
      <c r="A1" s="30">
        <f>MAX('Concepts'!A:A)</f>
        <v>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</row>
    <row r="2" spans="1:19" ht="14.5" customHeight="1" x14ac:dyDescent="0.3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</row>
    <row r="3" spans="1:19" ht="14.5" customHeight="1" x14ac:dyDescent="0.3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</row>
    <row r="4" spans="1:19" ht="14.5" customHeight="1" x14ac:dyDescent="0.3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</row>
    <row r="5" spans="1:19" ht="14.5" customHeight="1" x14ac:dyDescent="0.3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</row>
    <row r="6" spans="1:19" ht="14.5" customHeight="1" x14ac:dyDescent="0.3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</row>
    <row r="7" spans="1:19" ht="14.5" customHeight="1" x14ac:dyDescent="0.3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</row>
    <row r="8" spans="1:19" ht="14.5" customHeight="1" x14ac:dyDescent="0.3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</row>
    <row r="9" spans="1:19" ht="14.5" customHeight="1" x14ac:dyDescent="0.3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</row>
    <row r="10" spans="1:19" ht="14.5" customHeight="1" x14ac:dyDescent="0.3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</row>
    <row r="11" spans="1:19" ht="14.5" customHeight="1" x14ac:dyDescent="0.3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</row>
    <row r="12" spans="1:19" ht="14.5" customHeight="1" x14ac:dyDescent="0.3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</row>
    <row r="13" spans="1:19" ht="14.5" customHeight="1" x14ac:dyDescent="0.3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</row>
    <row r="14" spans="1:19" ht="14.5" customHeight="1" x14ac:dyDescent="0.3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</row>
    <row r="15" spans="1:19" ht="14.5" customHeight="1" x14ac:dyDescent="0.3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</row>
    <row r="16" spans="1:19" ht="14.5" customHeight="1" x14ac:dyDescent="0.3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</row>
    <row r="17" spans="1:19" ht="14.5" customHeight="1" x14ac:dyDescent="0.3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</row>
    <row r="18" spans="1:19" ht="14.5" customHeight="1" x14ac:dyDescent="0.3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</row>
    <row r="19" spans="1:19" ht="14.5" customHeight="1" x14ac:dyDescent="0.3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Concepts</vt:lpstr>
      <vt:lpstr>Info</vt:lpstr>
      <vt:lpstr>TOC</vt:lpstr>
      <vt:lpstr>Max ID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</dc:creator>
  <cp:lastModifiedBy>Denis</cp:lastModifiedBy>
  <dcterms:created xsi:type="dcterms:W3CDTF">2024-09-01T19:46:11Z</dcterms:created>
  <dcterms:modified xsi:type="dcterms:W3CDTF">2025-10-12T20:55:15Z</dcterms:modified>
</cp:coreProperties>
</file>